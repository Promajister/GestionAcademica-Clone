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ruz\Desktop\VINCULACION CON EL MEDIO 2025\SENAPRED\CAPACITACION PISE\"/>
    </mc:Choice>
  </mc:AlternateContent>
  <bookViews>
    <workbookView xWindow="0" yWindow="0" windowWidth="23040" windowHeight="9270"/>
  </bookViews>
  <sheets>
    <sheet name="ORGANIZACION Y LOGISTICA" sheetId="1" r:id="rId1"/>
    <sheet name="PERCEPCION COMUNITARIA" sheetId="2" r:id="rId2"/>
    <sheet name="EVALUACION CONTENIDO " sheetId="3" r:id="rId3"/>
    <sheet name="COMENTARIO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2" l="1"/>
  <c r="C18" i="2"/>
  <c r="C19" i="2"/>
  <c r="C20" i="2"/>
  <c r="C21" i="2"/>
  <c r="C22" i="2"/>
  <c r="C23" i="2"/>
  <c r="C24" i="2"/>
  <c r="D24" i="2"/>
  <c r="D18" i="2"/>
  <c r="D19" i="2"/>
  <c r="D20" i="2"/>
  <c r="D21" i="2"/>
  <c r="D22" i="2"/>
  <c r="D23" i="2"/>
  <c r="D17" i="2"/>
  <c r="E9" i="2"/>
  <c r="E10" i="2"/>
  <c r="E11" i="2"/>
  <c r="E12" i="2"/>
  <c r="E13" i="2"/>
  <c r="E14" i="2"/>
  <c r="E15" i="2"/>
  <c r="E8" i="2"/>
  <c r="D14" i="3"/>
  <c r="G14" i="3"/>
  <c r="D15" i="3"/>
  <c r="G15" i="3"/>
  <c r="D16" i="3"/>
  <c r="F16" i="3"/>
  <c r="G16" i="3"/>
  <c r="D17" i="3"/>
  <c r="G17" i="3"/>
  <c r="D18" i="3"/>
  <c r="E18" i="3"/>
  <c r="G18" i="3"/>
  <c r="D19" i="3"/>
  <c r="E19" i="3"/>
  <c r="G19" i="3"/>
  <c r="H15" i="3"/>
  <c r="H16" i="3"/>
  <c r="H17" i="3"/>
  <c r="H18" i="3"/>
  <c r="H19" i="3"/>
  <c r="H14" i="3"/>
  <c r="I8" i="3"/>
  <c r="I9" i="3"/>
  <c r="I10" i="3"/>
  <c r="I11" i="3"/>
  <c r="I12" i="3"/>
  <c r="I7" i="3"/>
  <c r="D18" i="1"/>
  <c r="E18" i="1"/>
  <c r="G18" i="1"/>
  <c r="D19" i="1"/>
  <c r="E19" i="1"/>
  <c r="F19" i="1"/>
  <c r="G19" i="1"/>
  <c r="D20" i="1"/>
  <c r="E20" i="1"/>
  <c r="G20" i="1"/>
  <c r="D21" i="1"/>
  <c r="E21" i="1"/>
  <c r="G21" i="1"/>
  <c r="H19" i="1"/>
  <c r="H20" i="1"/>
  <c r="H21" i="1"/>
  <c r="H18" i="1"/>
</calcChain>
</file>

<file path=xl/sharedStrings.xml><?xml version="1.0" encoding="utf-8"?>
<sst xmlns="http://schemas.openxmlformats.org/spreadsheetml/2006/main" count="44" uniqueCount="41">
  <si>
    <t>Certificación Plan Integral de Seguridad Escolar</t>
  </si>
  <si>
    <t>FECHA DE REALIZACIÓN: 24 DE SEPTIEMBRE DEL 2025</t>
  </si>
  <si>
    <t>DOCENTE O ENTIDAD RESPONSABLE: SENAPRED</t>
  </si>
  <si>
    <t>REGIÓN: ARICA Y PARINACOTA</t>
  </si>
  <si>
    <t>COMUNA: ARICA</t>
  </si>
  <si>
    <t>Preguntas</t>
  </si>
  <si>
    <t>Muy insatisfecho</t>
  </si>
  <si>
    <t>Insatisfecho</t>
  </si>
  <si>
    <t>Ni satisfecho ni insatisfecho</t>
  </si>
  <si>
    <t>Satisfecho</t>
  </si>
  <si>
    <t>Totalmente satisfecho</t>
  </si>
  <si>
    <t xml:space="preserve">La  antelación con que se difundió la actividad </t>
  </si>
  <si>
    <t>La disponibilidad de información suficiente para orientar a los interesados en asistir</t>
  </si>
  <si>
    <t>La programación indicada con anterioridad</t>
  </si>
  <si>
    <t>La actividad propiamente tal, desde el punto de vista disciplinar y/o artístico- cultural</t>
  </si>
  <si>
    <t>Total</t>
  </si>
  <si>
    <t>ORGANIZACIÓN Y LOGÍSTICA</t>
  </si>
  <si>
    <t>PERCEPCIÓN COMUNITARIA</t>
  </si>
  <si>
    <t>ASPECTOS POR EVALUAR</t>
  </si>
  <si>
    <t>SÍ</t>
  </si>
  <si>
    <t>NO</t>
  </si>
  <si>
    <t>Han realizado simulacros frente a los riesgos que los pueden afectar.</t>
  </si>
  <si>
    <t>En su hogar, cuentan con un plan de emergencia familiar o algún tipo de organización con roles definidos frente a una emergencia.</t>
  </si>
  <si>
    <t>Conoce los riesgos a los que está expuesta su comunidad</t>
  </si>
  <si>
    <t>Con sus conocimientos y experiencia actual, estaría en condiciones de entregar primeros auxilios básicos.</t>
  </si>
  <si>
    <t>Con sus conocimientos y experiencia actual, estaría en condiciones de entregar primer apoyo psicológico.</t>
  </si>
  <si>
    <t>Han tenido reuniones, capacitaciones u otra actividad de coordinación con la Universidad u otros organismos públicos o privados similares, para prevenir o responder ante una emergencia o desastre.</t>
  </si>
  <si>
    <t>Han tenido reuniones, capacitaciones u otra actividad de coordinación con el Municipio, para prevenir o responder ante una emergencia o desastre.</t>
  </si>
  <si>
    <t>Han tenido reuniones, capacitaciones u otra actividad de coordinación con Área de Salud, Bomberos o Carabineros, para prevenir o responder ante una emergencia o desastre.</t>
  </si>
  <si>
    <t>Totalmente en desacuerdo</t>
  </si>
  <si>
    <t>En desacuerdo</t>
  </si>
  <si>
    <t>Ni de acuerdo ni en desacuerdo</t>
  </si>
  <si>
    <t>De acuerdo</t>
  </si>
  <si>
    <t>Totalmente de acuerdo</t>
  </si>
  <si>
    <t>Pertinencia del contenido abordado</t>
  </si>
  <si>
    <t>Claridad de la exposición y metodología utilizada</t>
  </si>
  <si>
    <t>Utilidad del taller para reforzar aprendizajes</t>
  </si>
  <si>
    <t>El material de apoyo utilizado sirvió para facilitar la comprensión del tema</t>
  </si>
  <si>
    <t>Contribución del taller al logro de resultados de aprendizaje esperados</t>
  </si>
  <si>
    <t>Satisfacción global con la capacitación PISE</t>
  </si>
  <si>
    <t>EVALUACIÓN CONTENIDO Y APORTE AL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</si>
</sst>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Garamond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9" fontId="0" fillId="0" borderId="0" xfId="0" applyNumberForma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 u="sng"/>
              <a:t>ORGANIZACIÓN</a:t>
            </a:r>
            <a:r>
              <a:rPr lang="es-CL" b="1" u="sng" baseline="0"/>
              <a:t> Y LOGÍSTICA</a:t>
            </a:r>
            <a:endParaRPr lang="es-CL" b="1" u="s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'ORGANIZACION Y LOGISTICA'!$D$12</c:f>
              <c:strCache>
                <c:ptCount val="1"/>
                <c:pt idx="0">
                  <c:v>Muy insatisfecho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'ORGANIZACION Y LOGISTICA'!$C$13:$C$16</c:f>
              <c:strCache>
                <c:ptCount val="4"/>
                <c:pt idx="0">
                  <c:v>La  antelación con que se difundió la actividad </c:v>
                </c:pt>
                <c:pt idx="1">
                  <c:v>La disponibilidad de información suficiente para orientar a los interesados en asistir</c:v>
                </c:pt>
                <c:pt idx="2">
                  <c:v>La programación indicada con anterioridad</c:v>
                </c:pt>
                <c:pt idx="3">
                  <c:v>La actividad propiamente tal, desde el punto de vista disciplinar y/o artístico- cultural</c:v>
                </c:pt>
              </c:strCache>
            </c:strRef>
          </c:cat>
          <c:val>
            <c:numRef>
              <c:f>'ORGANIZACION Y LOGISTICA'!$D$13:$D$16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tx>
            <c:strRef>
              <c:f>'ORGANIZACION Y LOGISTICA'!$E$12</c:f>
              <c:strCache>
                <c:ptCount val="1"/>
                <c:pt idx="0">
                  <c:v>Insatisfecho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'ORGANIZACION Y LOGISTICA'!$C$13:$C$16</c:f>
              <c:strCache>
                <c:ptCount val="4"/>
                <c:pt idx="0">
                  <c:v>La  antelación con que se difundió la actividad </c:v>
                </c:pt>
                <c:pt idx="1">
                  <c:v>La disponibilidad de información suficiente para orientar a los interesados en asistir</c:v>
                </c:pt>
                <c:pt idx="2">
                  <c:v>La programación indicada con anterioridad</c:v>
                </c:pt>
                <c:pt idx="3">
                  <c:v>La actividad propiamente tal, desde el punto de vista disciplinar y/o artístico- cultural</c:v>
                </c:pt>
              </c:strCache>
            </c:strRef>
          </c:cat>
          <c:val>
            <c:numRef>
              <c:f>'ORGANIZACION Y LOGISTICA'!$E$13:$E$16</c:f>
              <c:numCache>
                <c:formatCode>General</c:formatCode>
                <c:ptCount val="4"/>
              </c:numCache>
            </c:numRef>
          </c:val>
        </c:ser>
        <c:ser>
          <c:idx val="2"/>
          <c:order val="2"/>
          <c:tx>
            <c:strRef>
              <c:f>'ORGANIZACION Y LOGISTICA'!$F$12</c:f>
              <c:strCache>
                <c:ptCount val="1"/>
                <c:pt idx="0">
                  <c:v>Ni satisfecho ni insatisfecho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'ORGANIZACION Y LOGISTICA'!$C$13:$C$16</c:f>
              <c:strCache>
                <c:ptCount val="4"/>
                <c:pt idx="0">
                  <c:v>La  antelación con que se difundió la actividad </c:v>
                </c:pt>
                <c:pt idx="1">
                  <c:v>La disponibilidad de información suficiente para orientar a los interesados en asistir</c:v>
                </c:pt>
                <c:pt idx="2">
                  <c:v>La programación indicada con anterioridad</c:v>
                </c:pt>
                <c:pt idx="3">
                  <c:v>La actividad propiamente tal, desde el punto de vista disciplinar y/o artístico- cultural</c:v>
                </c:pt>
              </c:strCache>
            </c:strRef>
          </c:cat>
          <c:val>
            <c:numRef>
              <c:f>'ORGANIZACION Y LOGISTICA'!$F$18:$F$21</c:f>
              <c:numCache>
                <c:formatCode>0%</c:formatCode>
                <c:ptCount val="4"/>
                <c:pt idx="1">
                  <c:v>0.10526315789473684</c:v>
                </c:pt>
              </c:numCache>
            </c:numRef>
          </c:val>
        </c:ser>
        <c:ser>
          <c:idx val="3"/>
          <c:order val="3"/>
          <c:tx>
            <c:strRef>
              <c:f>'ORGANIZACION Y LOGISTICA'!$G$12</c:f>
              <c:strCache>
                <c:ptCount val="1"/>
                <c:pt idx="0">
                  <c:v>Satisfecho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'ORGANIZACION Y LOGISTICA'!$C$13:$C$16</c:f>
              <c:strCache>
                <c:ptCount val="4"/>
                <c:pt idx="0">
                  <c:v>La  antelación con que se difundió la actividad </c:v>
                </c:pt>
                <c:pt idx="1">
                  <c:v>La disponibilidad de información suficiente para orientar a los interesados en asistir</c:v>
                </c:pt>
                <c:pt idx="2">
                  <c:v>La programación indicada con anterioridad</c:v>
                </c:pt>
                <c:pt idx="3">
                  <c:v>La actividad propiamente tal, desde el punto de vista disciplinar y/o artístico- cultural</c:v>
                </c:pt>
              </c:strCache>
            </c:strRef>
          </c:cat>
          <c:val>
            <c:numRef>
              <c:f>'ORGANIZACION Y LOGISTICA'!$G$18:$G$21</c:f>
              <c:numCache>
                <c:formatCode>0%</c:formatCode>
                <c:ptCount val="4"/>
                <c:pt idx="0">
                  <c:v>0.31578947368421051</c:v>
                </c:pt>
                <c:pt idx="1">
                  <c:v>0.15789473684210525</c:v>
                </c:pt>
                <c:pt idx="2">
                  <c:v>0.36842105263157893</c:v>
                </c:pt>
                <c:pt idx="3">
                  <c:v>0.10526315789473684</c:v>
                </c:pt>
              </c:numCache>
            </c:numRef>
          </c:val>
        </c:ser>
        <c:ser>
          <c:idx val="4"/>
          <c:order val="4"/>
          <c:tx>
            <c:strRef>
              <c:f>'ORGANIZACION Y LOGISTICA'!$H$12</c:f>
              <c:strCache>
                <c:ptCount val="1"/>
                <c:pt idx="0">
                  <c:v>Totalmente satisfecho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'ORGANIZACION Y LOGISTICA'!$C$13:$C$16</c:f>
              <c:strCache>
                <c:ptCount val="4"/>
                <c:pt idx="0">
                  <c:v>La  antelación con que se difundió la actividad </c:v>
                </c:pt>
                <c:pt idx="1">
                  <c:v>La disponibilidad de información suficiente para orientar a los interesados en asistir</c:v>
                </c:pt>
                <c:pt idx="2">
                  <c:v>La programación indicada con anterioridad</c:v>
                </c:pt>
                <c:pt idx="3">
                  <c:v>La actividad propiamente tal, desde el punto de vista disciplinar y/o artístico- cultural</c:v>
                </c:pt>
              </c:strCache>
            </c:strRef>
          </c:cat>
          <c:val>
            <c:numRef>
              <c:f>'ORGANIZACION Y LOGISTICA'!$H$18:$H$21</c:f>
              <c:numCache>
                <c:formatCode>0%</c:formatCode>
                <c:ptCount val="4"/>
                <c:pt idx="0">
                  <c:v>0.68421052631578949</c:v>
                </c:pt>
                <c:pt idx="1">
                  <c:v>0.73684210526315785</c:v>
                </c:pt>
                <c:pt idx="2">
                  <c:v>0.63157894736842102</c:v>
                </c:pt>
                <c:pt idx="3">
                  <c:v>0.89473684210526316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512015568"/>
        <c:axId val="-512015024"/>
      </c:barChart>
      <c:catAx>
        <c:axId val="-512015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b="1"/>
                  <a:t>CRITERIOS</a:t>
                </a:r>
                <a:r>
                  <a:rPr lang="es-CL" b="1" baseline="0"/>
                  <a:t>  A EVALUAR</a:t>
                </a:r>
                <a:endParaRPr lang="es-CL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12015024"/>
        <c:crosses val="autoZero"/>
        <c:auto val="1"/>
        <c:lblAlgn val="ctr"/>
        <c:lblOffset val="100"/>
        <c:noMultiLvlLbl val="0"/>
      </c:catAx>
      <c:valAx>
        <c:axId val="-51201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b="1"/>
                  <a:t>ESCALA</a:t>
                </a:r>
                <a:r>
                  <a:rPr lang="es-CL" b="1" baseline="0"/>
                  <a:t> EVALUACIÓN</a:t>
                </a:r>
                <a:endParaRPr lang="es-CL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51201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374169040835708E-2"/>
          <c:y val="0.94176977877765267"/>
          <c:w val="0.9"/>
          <c:h val="5.8230221222347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 u="sng"/>
              <a:t>PERCEPCIÓN</a:t>
            </a:r>
            <a:r>
              <a:rPr lang="es-CL" b="1" u="sng" baseline="0"/>
              <a:t> COMUNITARIA</a:t>
            </a:r>
            <a:endParaRPr lang="es-CL" b="1" u="s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'PERCEPCION COMUNITARIA'!$C$7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'PERCEPCION COMUNITARIA'!$B$8:$B$15</c:f>
              <c:strCache>
                <c:ptCount val="8"/>
                <c:pt idx="0">
                  <c:v>Han realizado simulacros frente a los riesgos que los pueden afectar.</c:v>
                </c:pt>
                <c:pt idx="1">
                  <c:v>En su hogar, cuentan con un plan de emergencia familiar o algún tipo de organización con roles definidos frente a una emergencia.</c:v>
                </c:pt>
                <c:pt idx="2">
                  <c:v>Conoce los riesgos a los que está expuesta su comunidad</c:v>
                </c:pt>
                <c:pt idx="3">
                  <c:v>Con sus conocimientos y experiencia actual, estaría en condiciones de entregar primeros auxilios básicos.</c:v>
                </c:pt>
                <c:pt idx="4">
                  <c:v>Con sus conocimientos y experiencia actual, estaría en condiciones de entregar primer apoyo psicológico.</c:v>
                </c:pt>
                <c:pt idx="5">
                  <c:v>Han tenido reuniones, capacitaciones u otra actividad de coordinación con la Universidad u otros organismos públicos o privados similares, para prevenir o responder ante una emergencia o desastre.</c:v>
                </c:pt>
                <c:pt idx="6">
                  <c:v>Han tenido reuniones, capacitaciones u otra actividad de coordinación con el Municipio, para prevenir o responder ante una emergencia o desastre.</c:v>
                </c:pt>
                <c:pt idx="7">
                  <c:v>Han tenido reuniones, capacitaciones u otra actividad de coordinación con Área de Salud, Bomberos o Carabineros, para prevenir o responder ante una emergencia o desastre.</c:v>
                </c:pt>
              </c:strCache>
            </c:strRef>
          </c:cat>
          <c:val>
            <c:numRef>
              <c:f>'PERCEPCION COMUNITARIA'!$C$17:$C$24</c:f>
              <c:numCache>
                <c:formatCode>0%</c:formatCode>
                <c:ptCount val="8"/>
                <c:pt idx="0">
                  <c:v>1</c:v>
                </c:pt>
                <c:pt idx="1">
                  <c:v>0.63157894736842102</c:v>
                </c:pt>
                <c:pt idx="2">
                  <c:v>0.94736842105263153</c:v>
                </c:pt>
                <c:pt idx="3">
                  <c:v>0.21052631578947367</c:v>
                </c:pt>
                <c:pt idx="4">
                  <c:v>0.63157894736842102</c:v>
                </c:pt>
                <c:pt idx="5">
                  <c:v>0.36842105263157893</c:v>
                </c:pt>
                <c:pt idx="6">
                  <c:v>0.26315789473684209</c:v>
                </c:pt>
                <c:pt idx="7">
                  <c:v>0.26315789473684209</c:v>
                </c:pt>
              </c:numCache>
            </c:numRef>
          </c:val>
        </c:ser>
        <c:ser>
          <c:idx val="1"/>
          <c:order val="1"/>
          <c:tx>
            <c:strRef>
              <c:f>'PERCEPCION COMUNITARIA'!$D$7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'PERCEPCION COMUNITARIA'!$B$8:$B$15</c:f>
              <c:strCache>
                <c:ptCount val="8"/>
                <c:pt idx="0">
                  <c:v>Han realizado simulacros frente a los riesgos que los pueden afectar.</c:v>
                </c:pt>
                <c:pt idx="1">
                  <c:v>En su hogar, cuentan con un plan de emergencia familiar o algún tipo de organización con roles definidos frente a una emergencia.</c:v>
                </c:pt>
                <c:pt idx="2">
                  <c:v>Conoce los riesgos a los que está expuesta su comunidad</c:v>
                </c:pt>
                <c:pt idx="3">
                  <c:v>Con sus conocimientos y experiencia actual, estaría en condiciones de entregar primeros auxilios básicos.</c:v>
                </c:pt>
                <c:pt idx="4">
                  <c:v>Con sus conocimientos y experiencia actual, estaría en condiciones de entregar primer apoyo psicológico.</c:v>
                </c:pt>
                <c:pt idx="5">
                  <c:v>Han tenido reuniones, capacitaciones u otra actividad de coordinación con la Universidad u otros organismos públicos o privados similares, para prevenir o responder ante una emergencia o desastre.</c:v>
                </c:pt>
                <c:pt idx="6">
                  <c:v>Han tenido reuniones, capacitaciones u otra actividad de coordinación con el Municipio, para prevenir o responder ante una emergencia o desastre.</c:v>
                </c:pt>
                <c:pt idx="7">
                  <c:v>Han tenido reuniones, capacitaciones u otra actividad de coordinación con Área de Salud, Bomberos o Carabineros, para prevenir o responder ante una emergencia o desastre.</c:v>
                </c:pt>
              </c:strCache>
            </c:strRef>
          </c:cat>
          <c:val>
            <c:numRef>
              <c:f>'PERCEPCION COMUNITARIA'!$D$17:$D$24</c:f>
              <c:numCache>
                <c:formatCode>0%</c:formatCode>
                <c:ptCount val="8"/>
                <c:pt idx="0">
                  <c:v>0</c:v>
                </c:pt>
                <c:pt idx="1">
                  <c:v>0.36842105263157893</c:v>
                </c:pt>
                <c:pt idx="2">
                  <c:v>5.2631578947368418E-2</c:v>
                </c:pt>
                <c:pt idx="3">
                  <c:v>0.78947368421052633</c:v>
                </c:pt>
                <c:pt idx="4">
                  <c:v>0.36842105263157893</c:v>
                </c:pt>
                <c:pt idx="5">
                  <c:v>0.63157894736842102</c:v>
                </c:pt>
                <c:pt idx="6">
                  <c:v>0.73684210526315785</c:v>
                </c:pt>
                <c:pt idx="7">
                  <c:v>0.73684210526315785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268517056"/>
        <c:axId val="-268511616"/>
      </c:barChart>
      <c:catAx>
        <c:axId val="-26851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b="1"/>
                  <a:t>ASPECTOS</a:t>
                </a:r>
                <a:r>
                  <a:rPr lang="es-CL" b="1" baseline="0"/>
                  <a:t> A EVALUAR</a:t>
                </a:r>
                <a:endParaRPr lang="es-CL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268511616"/>
        <c:crosses val="autoZero"/>
        <c:auto val="1"/>
        <c:lblAlgn val="ctr"/>
        <c:lblOffset val="100"/>
        <c:noMultiLvlLbl val="0"/>
      </c:catAx>
      <c:valAx>
        <c:axId val="-2685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b="1"/>
                  <a:t>PORCENTAJE</a:t>
                </a:r>
                <a:r>
                  <a:rPr lang="es-CL" b="1" baseline="0"/>
                  <a:t> DE RESPUESTAS</a:t>
                </a:r>
                <a:endParaRPr lang="es-CL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26851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 u="sng"/>
              <a:t>EVALUACIÓN</a:t>
            </a:r>
            <a:r>
              <a:rPr lang="es-CL" b="1" u="sng" baseline="0"/>
              <a:t> DEL CONTENIDO</a:t>
            </a:r>
            <a:endParaRPr lang="es-CL" b="1" u="s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'EVALUACION CONTENIDO '!$D$6</c:f>
              <c:strCache>
                <c:ptCount val="1"/>
                <c:pt idx="0">
                  <c:v>Totalmente en desacuerdo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'EVALUACION CONTENIDO '!$C$7:$C$12</c:f>
              <c:strCache>
                <c:ptCount val="6"/>
                <c:pt idx="0">
                  <c:v>Pertinencia del contenido abordado</c:v>
                </c:pt>
                <c:pt idx="1">
                  <c:v>Claridad de la exposición y metodología utilizada</c:v>
                </c:pt>
                <c:pt idx="2">
                  <c:v>Utilidad del taller para reforzar aprendizajes</c:v>
                </c:pt>
                <c:pt idx="3">
                  <c:v>El material de apoyo utilizado sirvió para facilitar la comprensión del tema</c:v>
                </c:pt>
                <c:pt idx="4">
                  <c:v>Contribución del taller al logro de resultados de aprendizaje esperados</c:v>
                </c:pt>
                <c:pt idx="5">
                  <c:v>Satisfacción global con la capacitación PISE</c:v>
                </c:pt>
              </c:strCache>
            </c:strRef>
          </c:cat>
          <c:val>
            <c:numRef>
              <c:f>'EVALUACION CONTENIDO '!$D$7:$D$12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'EVALUACION CONTENIDO '!$E$6</c:f>
              <c:strCache>
                <c:ptCount val="1"/>
                <c:pt idx="0">
                  <c:v>En desacuerdo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'EVALUACION CONTENIDO '!$C$7:$C$12</c:f>
              <c:strCache>
                <c:ptCount val="6"/>
                <c:pt idx="0">
                  <c:v>Pertinencia del contenido abordado</c:v>
                </c:pt>
                <c:pt idx="1">
                  <c:v>Claridad de la exposición y metodología utilizada</c:v>
                </c:pt>
                <c:pt idx="2">
                  <c:v>Utilidad del taller para reforzar aprendizajes</c:v>
                </c:pt>
                <c:pt idx="3">
                  <c:v>El material de apoyo utilizado sirvió para facilitar la comprensión del tema</c:v>
                </c:pt>
                <c:pt idx="4">
                  <c:v>Contribución del taller al logro de resultados de aprendizaje esperados</c:v>
                </c:pt>
                <c:pt idx="5">
                  <c:v>Satisfacción global con la capacitación PISE</c:v>
                </c:pt>
              </c:strCache>
            </c:strRef>
          </c:cat>
          <c:val>
            <c:numRef>
              <c:f>'EVALUACION CONTENIDO '!$E$14:$E$19</c:f>
              <c:numCache>
                <c:formatCode>0%</c:formatCode>
                <c:ptCount val="6"/>
                <c:pt idx="4">
                  <c:v>5.2631578947368418E-2</c:v>
                </c:pt>
                <c:pt idx="5">
                  <c:v>5.2631578947368418E-2</c:v>
                </c:pt>
              </c:numCache>
            </c:numRef>
          </c:val>
        </c:ser>
        <c:ser>
          <c:idx val="2"/>
          <c:order val="2"/>
          <c:tx>
            <c:strRef>
              <c:f>'EVALUACION CONTENIDO '!$F$6</c:f>
              <c:strCache>
                <c:ptCount val="1"/>
                <c:pt idx="0">
                  <c:v>Ni de acuerdo ni en desacuerdo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'EVALUACION CONTENIDO '!$C$7:$C$12</c:f>
              <c:strCache>
                <c:ptCount val="6"/>
                <c:pt idx="0">
                  <c:v>Pertinencia del contenido abordado</c:v>
                </c:pt>
                <c:pt idx="1">
                  <c:v>Claridad de la exposición y metodología utilizada</c:v>
                </c:pt>
                <c:pt idx="2">
                  <c:v>Utilidad del taller para reforzar aprendizajes</c:v>
                </c:pt>
                <c:pt idx="3">
                  <c:v>El material de apoyo utilizado sirvió para facilitar la comprensión del tema</c:v>
                </c:pt>
                <c:pt idx="4">
                  <c:v>Contribución del taller al logro de resultados de aprendizaje esperados</c:v>
                </c:pt>
                <c:pt idx="5">
                  <c:v>Satisfacción global con la capacitación PISE</c:v>
                </c:pt>
              </c:strCache>
            </c:strRef>
          </c:cat>
          <c:val>
            <c:numRef>
              <c:f>'EVALUACION CONTENIDO '!$F$14:$F$19</c:f>
              <c:numCache>
                <c:formatCode>0%</c:formatCode>
                <c:ptCount val="6"/>
                <c:pt idx="2">
                  <c:v>5.2631578947368418E-2</c:v>
                </c:pt>
              </c:numCache>
            </c:numRef>
          </c:val>
        </c:ser>
        <c:ser>
          <c:idx val="3"/>
          <c:order val="3"/>
          <c:tx>
            <c:strRef>
              <c:f>'EVALUACION CONTENIDO '!$G$6</c:f>
              <c:strCache>
                <c:ptCount val="1"/>
                <c:pt idx="0">
                  <c:v>De acuerdo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'EVALUACION CONTENIDO '!$C$7:$C$12</c:f>
              <c:strCache>
                <c:ptCount val="6"/>
                <c:pt idx="0">
                  <c:v>Pertinencia del contenido abordado</c:v>
                </c:pt>
                <c:pt idx="1">
                  <c:v>Claridad de la exposición y metodología utilizada</c:v>
                </c:pt>
                <c:pt idx="2">
                  <c:v>Utilidad del taller para reforzar aprendizajes</c:v>
                </c:pt>
                <c:pt idx="3">
                  <c:v>El material de apoyo utilizado sirvió para facilitar la comprensión del tema</c:v>
                </c:pt>
                <c:pt idx="4">
                  <c:v>Contribución del taller al logro de resultados de aprendizaje esperados</c:v>
                </c:pt>
                <c:pt idx="5">
                  <c:v>Satisfacción global con la capacitación PISE</c:v>
                </c:pt>
              </c:strCache>
            </c:strRef>
          </c:cat>
          <c:val>
            <c:numRef>
              <c:f>'EVALUACION CONTENIDO '!$G$14:$G$19</c:f>
              <c:numCache>
                <c:formatCode>0%</c:formatCode>
                <c:ptCount val="6"/>
                <c:pt idx="0">
                  <c:v>0.15789473684210525</c:v>
                </c:pt>
                <c:pt idx="1">
                  <c:v>0.10526315789473684</c:v>
                </c:pt>
                <c:pt idx="2">
                  <c:v>5.2631578947368418E-2</c:v>
                </c:pt>
                <c:pt idx="3">
                  <c:v>0.10526315789473684</c:v>
                </c:pt>
                <c:pt idx="4">
                  <c:v>0.15789473684210525</c:v>
                </c:pt>
                <c:pt idx="5">
                  <c:v>5.2631578947368418E-2</c:v>
                </c:pt>
              </c:numCache>
            </c:numRef>
          </c:val>
        </c:ser>
        <c:ser>
          <c:idx val="4"/>
          <c:order val="4"/>
          <c:tx>
            <c:strRef>
              <c:f>'EVALUACION CONTENIDO '!$H$6</c:f>
              <c:strCache>
                <c:ptCount val="1"/>
                <c:pt idx="0">
                  <c:v>Totalmente de acuerdo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'EVALUACION CONTENIDO '!$C$7:$C$12</c:f>
              <c:strCache>
                <c:ptCount val="6"/>
                <c:pt idx="0">
                  <c:v>Pertinencia del contenido abordado</c:v>
                </c:pt>
                <c:pt idx="1">
                  <c:v>Claridad de la exposición y metodología utilizada</c:v>
                </c:pt>
                <c:pt idx="2">
                  <c:v>Utilidad del taller para reforzar aprendizajes</c:v>
                </c:pt>
                <c:pt idx="3">
                  <c:v>El material de apoyo utilizado sirvió para facilitar la comprensión del tema</c:v>
                </c:pt>
                <c:pt idx="4">
                  <c:v>Contribución del taller al logro de resultados de aprendizaje esperados</c:v>
                </c:pt>
                <c:pt idx="5">
                  <c:v>Satisfacción global con la capacitación PISE</c:v>
                </c:pt>
              </c:strCache>
            </c:strRef>
          </c:cat>
          <c:val>
            <c:numRef>
              <c:f>'EVALUACION CONTENIDO '!$H$14:$H$19</c:f>
              <c:numCache>
                <c:formatCode>0%</c:formatCode>
                <c:ptCount val="6"/>
                <c:pt idx="0">
                  <c:v>0.84210526315789469</c:v>
                </c:pt>
                <c:pt idx="1">
                  <c:v>0.89473684210526316</c:v>
                </c:pt>
                <c:pt idx="2">
                  <c:v>0.89473684210526316</c:v>
                </c:pt>
                <c:pt idx="3">
                  <c:v>0.89473684210526316</c:v>
                </c:pt>
                <c:pt idx="4">
                  <c:v>0.78947368421052633</c:v>
                </c:pt>
                <c:pt idx="5">
                  <c:v>0.89473684210526316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268516512"/>
        <c:axId val="-268513248"/>
      </c:barChart>
      <c:catAx>
        <c:axId val="-268516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b="1"/>
                  <a:t>CRITERIOS</a:t>
                </a:r>
                <a:r>
                  <a:rPr lang="es-CL" b="1" baseline="0"/>
                  <a:t> A EVALUAR</a:t>
                </a:r>
                <a:endParaRPr lang="es-CL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268513248"/>
        <c:crosses val="autoZero"/>
        <c:auto val="1"/>
        <c:lblAlgn val="ctr"/>
        <c:lblOffset val="100"/>
        <c:noMultiLvlLbl val="0"/>
      </c:catAx>
      <c:valAx>
        <c:axId val="-26851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b="1"/>
                  <a:t>ESCALA</a:t>
                </a:r>
                <a:r>
                  <a:rPr lang="es-CL" b="1" baseline="0"/>
                  <a:t> DE EVALUACIÓN</a:t>
                </a:r>
                <a:endParaRPr lang="es-CL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26851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29</xdr:row>
      <xdr:rowOff>38100</xdr:rowOff>
    </xdr:from>
    <xdr:to>
      <xdr:col>9</xdr:col>
      <xdr:colOff>91440</xdr:colOff>
      <xdr:row>40</xdr:row>
      <xdr:rowOff>60960</xdr:rowOff>
    </xdr:to>
    <xdr:sp macro="" textlink="">
      <xdr:nvSpPr>
        <xdr:cNvPr id="2" name="CuadroTexto 1"/>
        <xdr:cNvSpPr txBox="1"/>
      </xdr:nvSpPr>
      <xdr:spPr>
        <a:xfrm>
          <a:off x="7520940" y="5387340"/>
          <a:ext cx="6461760" cy="2034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/>
            <a:t>La encuesta fue respondida por 19 personas y evaluó cuatro aspectos relacionados con la organización y desarrollo de una actividad. En general, se observa un alto nivel de satisfacción, ya que la mayoría de los participantes se mostró satisfecho o totalmente satisfecho.</a:t>
          </a:r>
          <a:r>
            <a:rPr lang="es-CL" baseline="0"/>
            <a:t> </a:t>
          </a:r>
        </a:p>
        <a:p>
          <a:r>
            <a:rPr lang="es-CL"/>
            <a:t>En cuanto a la antelación con que se difundió la actividad, el 68% de los encuestados se mostró totalmente satisfecho, lo que indica que la difusión fue adecuada y oportuna. Sobre la disponibilidad de información suficiente para orientar a los interesados, el 74% manifestó estar totalmente satisfecho, aunque algunas personas consideraron que podría haberse ofrecido información más clara.</a:t>
          </a:r>
        </a:p>
        <a:p>
          <a:r>
            <a:rPr lang="es-CL"/>
            <a:t>Respecto a la programación indicada con anterioridad, el 63% de los participantes se mostró totalmente satisfecho, valorando positivamente la organización previa. Finalmente, la actividad propiamente tal, desde el punto de vista disciplinar y artístico-cultural, obtuvo la mejor valoración, con un 89% de personas totalmente satisfechas.</a:t>
          </a:r>
        </a:p>
        <a:p>
          <a:endParaRPr lang="es-CL" sz="1100"/>
        </a:p>
      </xdr:txBody>
    </xdr:sp>
    <xdr:clientData/>
  </xdr:twoCellAnchor>
  <xdr:twoCellAnchor>
    <xdr:from>
      <xdr:col>1</xdr:col>
      <xdr:colOff>266700</xdr:colOff>
      <xdr:row>17</xdr:row>
      <xdr:rowOff>99060</xdr:rowOff>
    </xdr:from>
    <xdr:to>
      <xdr:col>2</xdr:col>
      <xdr:colOff>4823460</xdr:colOff>
      <xdr:row>37</xdr:row>
      <xdr:rowOff>121920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1043940</xdr:colOff>
      <xdr:row>37</xdr:row>
      <xdr:rowOff>167640</xdr:rowOff>
    </xdr:from>
    <xdr:to>
      <xdr:col>1</xdr:col>
      <xdr:colOff>8138160</xdr:colOff>
      <xdr:row>45</xdr:row>
      <xdr:rowOff>53340</xdr:rowOff>
    </xdr:to>
    <xdr:sp macro="" textlink="">
      <xdr:nvSpPr>
        <xdr:cNvPr id="2" name="CuadroTexto 1"/>
        <xdr:cNvSpPr txBox="1"/>
      </xdr:nvSpPr>
      <xdr:spPr>
        <a:xfrm>
          <a:off x="1836420" y="6934200"/>
          <a:ext cx="7094220" cy="1348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/>
            <a:t>El análisis general muestra</a:t>
          </a:r>
          <a:r>
            <a:rPr lang="es-CL" baseline="0"/>
            <a:t> que los estudiantes presentan </a:t>
          </a:r>
          <a:r>
            <a:rPr lang="es-CL"/>
            <a:t>un </a:t>
          </a:r>
          <a:r>
            <a:rPr lang="es-CL" b="0"/>
            <a:t>alto nivel de conocimiento y participación preventiva </a:t>
          </a:r>
          <a:r>
            <a:rPr lang="es-CL"/>
            <a:t>frente a emergencias, destacando que el </a:t>
          </a:r>
          <a:r>
            <a:rPr lang="es-CL" b="0"/>
            <a:t>100% ha realizado simulacros </a:t>
          </a:r>
          <a:r>
            <a:rPr lang="es-CL"/>
            <a:t>y el </a:t>
          </a:r>
          <a:r>
            <a:rPr lang="es-CL" b="0"/>
            <a:t>95% conoce los riesgos </a:t>
          </a:r>
          <a:r>
            <a:rPr lang="es-CL"/>
            <a:t>a los que está expuesta su comunidad, lo que refleja una sólida cultura de prevención. </a:t>
          </a:r>
        </a:p>
        <a:p>
          <a:r>
            <a:rPr lang="es-CL"/>
            <a:t>Asimismo, un </a:t>
          </a:r>
          <a:r>
            <a:rPr lang="es-CL" b="0"/>
            <a:t>63% cuenta con un plan de emergencia familiar</a:t>
          </a:r>
          <a:r>
            <a:rPr lang="es-CL"/>
            <a:t> y el mismo porcentaje se siente preparado para brindar </a:t>
          </a:r>
          <a:r>
            <a:rPr lang="es-CL" b="0"/>
            <a:t>primer apoyo psicológico</a:t>
          </a:r>
          <a:r>
            <a:rPr lang="es-CL"/>
            <a:t>, lo que indica un grado importante de organización y conciencia frente a situaciones críticas. No obstante, se identifican debilidades en la </a:t>
          </a:r>
          <a:r>
            <a:rPr lang="es-CL" b="0"/>
            <a:t>capacidad para entregar primeros auxilios básicos (21%) </a:t>
          </a:r>
          <a:r>
            <a:rPr lang="es-CL"/>
            <a:t>y en la </a:t>
          </a:r>
          <a:r>
            <a:rPr lang="es-CL" b="0"/>
            <a:t>coordinación con instituciones externas.</a:t>
          </a:r>
          <a:endParaRPr lang="es-CL" sz="1100"/>
        </a:p>
      </xdr:txBody>
    </xdr:sp>
    <xdr:clientData/>
  </xdr:twoCellAnchor>
  <xdr:twoCellAnchor>
    <xdr:from>
      <xdr:col>1</xdr:col>
      <xdr:colOff>1493520</xdr:colOff>
      <xdr:row>15</xdr:row>
      <xdr:rowOff>137160</xdr:rowOff>
    </xdr:from>
    <xdr:to>
      <xdr:col>1</xdr:col>
      <xdr:colOff>7360920</xdr:colOff>
      <xdr:row>34</xdr:row>
      <xdr:rowOff>137160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518160</xdr:colOff>
      <xdr:row>19</xdr:row>
      <xdr:rowOff>0</xdr:rowOff>
    </xdr:from>
    <xdr:to>
      <xdr:col>3</xdr:col>
      <xdr:colOff>1661160</xdr:colOff>
      <xdr:row>34</xdr:row>
      <xdr:rowOff>30480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2217420</xdr:colOff>
      <xdr:row>28</xdr:row>
      <xdr:rowOff>137160</xdr:rowOff>
    </xdr:from>
    <xdr:to>
      <xdr:col>8</xdr:col>
      <xdr:colOff>426720</xdr:colOff>
      <xdr:row>36</xdr:row>
      <xdr:rowOff>83820</xdr:rowOff>
    </xdr:to>
    <xdr:sp macro="" textlink="">
      <xdr:nvSpPr>
        <xdr:cNvPr id="4" name="CuadroTexto 3"/>
        <xdr:cNvSpPr txBox="1"/>
      </xdr:nvSpPr>
      <xdr:spPr>
        <a:xfrm>
          <a:off x="8061960" y="5257800"/>
          <a:ext cx="6278880" cy="140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/>
            <a:t>La</a:t>
          </a:r>
          <a:r>
            <a:rPr lang="es-CL" baseline="0"/>
            <a:t> </a:t>
          </a:r>
          <a:r>
            <a:rPr lang="es-CL"/>
            <a:t>encuesta de satisfacción sobre la capacitación PISE muestra una valoración </a:t>
          </a:r>
          <a:r>
            <a:rPr lang="es-CL" b="0"/>
            <a:t>altamente positiva </a:t>
          </a:r>
          <a:r>
            <a:rPr lang="es-CL"/>
            <a:t>por parte de los estudiantes. En promedio, </a:t>
          </a:r>
          <a:r>
            <a:rPr lang="es-CL" b="0"/>
            <a:t>el 88% </a:t>
          </a:r>
          <a:r>
            <a:rPr lang="es-CL"/>
            <a:t>de las respuestas se concentraron en la opción </a:t>
          </a:r>
          <a:r>
            <a:rPr lang="es-CL" i="0"/>
            <a:t>“Totalmente de acuerdo”, </a:t>
          </a:r>
          <a:r>
            <a:rPr lang="es-CL"/>
            <a:t>mientras que un </a:t>
          </a:r>
          <a:r>
            <a:rPr lang="es-CL" b="0"/>
            <a:t>10% </a:t>
          </a:r>
          <a:r>
            <a:rPr lang="es-CL"/>
            <a:t>eligió </a:t>
          </a:r>
          <a:r>
            <a:rPr lang="es-CL" i="0"/>
            <a:t>“De acuerdo”, </a:t>
          </a:r>
          <a:r>
            <a:rPr lang="es-CL"/>
            <a:t>y apenas </a:t>
          </a:r>
          <a:r>
            <a:rPr lang="es-CL" b="0"/>
            <a:t>un 2%</a:t>
          </a:r>
          <a:r>
            <a:rPr lang="es-CL"/>
            <a:t> se distribuyó entre </a:t>
          </a:r>
          <a:r>
            <a:rPr lang="es-CL" i="0"/>
            <a:t>“Ni de acuerdo ni en desacuerdo” </a:t>
          </a:r>
          <a:r>
            <a:rPr lang="es-CL"/>
            <a:t>y </a:t>
          </a:r>
          <a:r>
            <a:rPr lang="es-CL" i="0"/>
            <a:t>“En desacuerdo”. </a:t>
          </a:r>
          <a:r>
            <a:rPr lang="es-CL"/>
            <a:t>En particular, </a:t>
          </a:r>
          <a:r>
            <a:rPr lang="es-CL" b="0"/>
            <a:t>la claridad de la exposición</a:t>
          </a:r>
          <a:r>
            <a:rPr lang="es-CL"/>
            <a:t>, la </a:t>
          </a:r>
          <a:r>
            <a:rPr lang="es-CL" b="0"/>
            <a:t>utilidad del taller </a:t>
          </a:r>
          <a:r>
            <a:rPr lang="es-CL"/>
            <a:t>y la </a:t>
          </a:r>
          <a:r>
            <a:rPr lang="es-CL" b="0"/>
            <a:t>satisfacción global </a:t>
          </a:r>
          <a:r>
            <a:rPr lang="es-CL"/>
            <a:t>alcanzaron los niveles más altos de aprobación. Estos resultados reflejan una </a:t>
          </a:r>
          <a:r>
            <a:rPr lang="es-CL" b="0"/>
            <a:t>excelente percepción general </a:t>
          </a:r>
          <a:r>
            <a:rPr lang="es-CL"/>
            <a:t>de la capacitación, destacando su pertinencia, claridad metodológica y contribución efectiva al logro de los aprendizajes.</a:t>
          </a:r>
          <a:r>
            <a:rPr lang="es-CL" baseline="0"/>
            <a:t> </a:t>
          </a:r>
          <a:endParaRPr lang="es-C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160020</xdr:rowOff>
    </xdr:from>
    <xdr:to>
      <xdr:col>11</xdr:col>
      <xdr:colOff>704850</xdr:colOff>
      <xdr:row>20</xdr:row>
      <xdr:rowOff>19050</xdr:rowOff>
    </xdr:to>
    <xdr:sp macro="" textlink="">
      <xdr:nvSpPr>
        <xdr:cNvPr id="2" name="CuadroTexto 1"/>
        <xdr:cNvSpPr txBox="1"/>
      </xdr:nvSpPr>
      <xdr:spPr>
        <a:xfrm>
          <a:off x="838200" y="350520"/>
          <a:ext cx="8248650" cy="3478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¿Qué aprendizajes considera que reforzó con esta actividad? </a:t>
          </a:r>
          <a:r>
            <a:rPr lang="es-C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100"/>
        </a:p>
        <a:p>
          <a:r>
            <a:rPr lang="es-CL"/>
            <a:t>- El taller me permitió adquirir conocimientos sobre el protocolo y la realidad docente ante desastres, además de participar activamente en la creación del PISE.</a:t>
          </a:r>
        </a:p>
        <a:p>
          <a:r>
            <a:rPr lang="es-CL"/>
            <a:t>- Considero que estos conocimientos no solo refuerzan aprendizajes previos, sino que también proporcionan herramientas útiles para el futuro. Sería ideal integrar talleres prácticos en terreno.</a:t>
          </a:r>
        </a:p>
        <a:p>
          <a:r>
            <a:rPr lang="es-CL"/>
            <a:t>- Aprender a identificar riesgos y peligros, ya sean desastres naturales u otros, resulta de gran utilidad, especialmente al trabajar con grandes multitudes y, más aún, con niños.</a:t>
          </a:r>
        </a:p>
        <a:p>
          <a:r>
            <a:rPr lang="es-C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experiencia reforzó mi capacidad para organizar equipos orientados a la prevención de situaciones de riesgo y me permitió aprender diversos conceptos de manera clara y enfocada.</a:t>
          </a:r>
          <a:endParaRPr lang="es-CL">
            <a:effectLst/>
          </a:endParaRPr>
        </a:p>
        <a:p>
          <a:r>
            <a:rPr lang="es-C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Los consejos prácticos para la vida cotidiana fueron muy útiles y aplicables en la práctica.</a:t>
          </a:r>
          <a:endParaRPr lang="es-CL">
            <a:effectLst/>
          </a:endParaRPr>
        </a:p>
        <a:p>
          <a:r>
            <a:rPr lang="es-C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El taller permitió comprender cómo se compone el PISE y facilitó un análisis profundo del centro de práctica.</a:t>
          </a:r>
          <a:endParaRPr lang="es-CL">
            <a:effectLst/>
          </a:endParaRPr>
        </a:p>
        <a:p>
          <a:endParaRPr lang="es-CL"/>
        </a:p>
        <a:p>
          <a:endParaRPr lang="es-CL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¿Qué aspectos considera que podrían mejorarse?</a:t>
          </a:r>
          <a:endParaRPr lang="es-CL">
            <a:effectLst/>
          </a:endParaRPr>
        </a:p>
        <a:p>
          <a:endParaRPr lang="es-CL"/>
        </a:p>
        <a:p>
          <a:r>
            <a:rPr lang="es-CL"/>
            <a:t>- El taller teórico estuvo bien organizado y presentado, aunque podría mejorar en cuanto a su diseño didáctico.</a:t>
          </a:r>
        </a:p>
        <a:p>
          <a:r>
            <a:rPr lang="es-CL"/>
            <a:t>- Me gustaría que las jornadas fueran un poco más interactivas, dado que la duración de la actividad puede resultar extensa.</a:t>
          </a:r>
        </a:p>
        <a:p>
          <a:r>
            <a:rPr lang="es-CL"/>
            <a:t>- Sería recomendable hacer el contenido un poco más ameno, ya que es extenso y requiere tiempo para asimilar toda la información.</a:t>
          </a:r>
        </a:p>
        <a:p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21"/>
  <sheetViews>
    <sheetView tabSelected="1" topLeftCell="B7" workbookViewId="0">
      <selection activeCell="C12" sqref="C12:I16"/>
    </sheetView>
  </sheetViews>
  <sheetFormatPr baseColWidth="10" defaultRowHeight="15" x14ac:dyDescent="0.25"/>
  <cols>
    <col min="3" max="3" width="77.5703125" bestFit="1" customWidth="1"/>
    <col min="4" max="4" width="26.85546875" bestFit="1" customWidth="1"/>
    <col min="5" max="5" width="27.42578125" customWidth="1"/>
    <col min="6" max="6" width="23.85546875" bestFit="1" customWidth="1"/>
    <col min="8" max="8" width="19.28515625" bestFit="1" customWidth="1"/>
  </cols>
  <sheetData>
    <row r="4" spans="3:9" ht="18.75" x14ac:dyDescent="0.25">
      <c r="E4" s="2" t="s">
        <v>0</v>
      </c>
    </row>
    <row r="6" spans="3:9" x14ac:dyDescent="0.25">
      <c r="C6" s="1" t="s">
        <v>1</v>
      </c>
      <c r="D6" s="1"/>
      <c r="E6" s="1"/>
    </row>
    <row r="7" spans="3:9" x14ac:dyDescent="0.25">
      <c r="C7" s="1" t="s">
        <v>2</v>
      </c>
      <c r="D7" s="1"/>
      <c r="E7" s="1"/>
    </row>
    <row r="8" spans="3:9" x14ac:dyDescent="0.25">
      <c r="C8" s="1" t="s">
        <v>3</v>
      </c>
      <c r="D8" s="6" t="s">
        <v>16</v>
      </c>
      <c r="E8" s="1"/>
    </row>
    <row r="9" spans="3:9" x14ac:dyDescent="0.25">
      <c r="C9" s="1" t="s">
        <v>4</v>
      </c>
      <c r="D9" s="1"/>
      <c r="E9" s="1"/>
    </row>
    <row r="12" spans="3:9" x14ac:dyDescent="0.25"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4" t="s">
        <v>15</v>
      </c>
    </row>
    <row r="13" spans="3:9" x14ac:dyDescent="0.25">
      <c r="C13" s="3" t="s">
        <v>11</v>
      </c>
      <c r="D13" s="3"/>
      <c r="E13" s="3"/>
      <c r="F13" s="3"/>
      <c r="G13" s="3">
        <v>6</v>
      </c>
      <c r="H13" s="3">
        <v>13</v>
      </c>
      <c r="I13" s="3">
        <v>19</v>
      </c>
    </row>
    <row r="14" spans="3:9" x14ac:dyDescent="0.25">
      <c r="C14" s="3" t="s">
        <v>12</v>
      </c>
      <c r="D14" s="3"/>
      <c r="E14" s="3"/>
      <c r="F14" s="3">
        <v>2</v>
      </c>
      <c r="G14" s="3">
        <v>3</v>
      </c>
      <c r="H14" s="3">
        <v>14</v>
      </c>
      <c r="I14" s="3">
        <v>19</v>
      </c>
    </row>
    <row r="15" spans="3:9" x14ac:dyDescent="0.25">
      <c r="C15" s="3" t="s">
        <v>13</v>
      </c>
      <c r="D15" s="3"/>
      <c r="E15" s="3"/>
      <c r="F15" s="3"/>
      <c r="G15" s="3">
        <v>7</v>
      </c>
      <c r="H15" s="3">
        <v>12</v>
      </c>
      <c r="I15" s="3">
        <v>19</v>
      </c>
    </row>
    <row r="16" spans="3:9" x14ac:dyDescent="0.25">
      <c r="C16" s="3" t="s">
        <v>14</v>
      </c>
      <c r="D16" s="3"/>
      <c r="E16" s="3"/>
      <c r="F16" s="3"/>
      <c r="G16" s="3">
        <v>2</v>
      </c>
      <c r="H16" s="3">
        <v>17</v>
      </c>
      <c r="I16" s="3">
        <v>19</v>
      </c>
    </row>
    <row r="18" spans="4:8" x14ac:dyDescent="0.25">
      <c r="D18" s="8" t="str">
        <f t="shared" ref="D18:G21" si="0">IF(D13=0,"",D13/$I13)</f>
        <v/>
      </c>
      <c r="E18" s="8" t="str">
        <f t="shared" si="0"/>
        <v/>
      </c>
      <c r="F18" s="8"/>
      <c r="G18" s="8">
        <f t="shared" si="0"/>
        <v>0.31578947368421051</v>
      </c>
      <c r="H18" s="8">
        <f>IF(H13=0,"",H13/$I13)</f>
        <v>0.68421052631578949</v>
      </c>
    </row>
    <row r="19" spans="4:8" x14ac:dyDescent="0.25">
      <c r="D19" s="8" t="str">
        <f t="shared" si="0"/>
        <v/>
      </c>
      <c r="E19" s="8" t="str">
        <f t="shared" si="0"/>
        <v/>
      </c>
      <c r="F19" s="8">
        <f t="shared" si="0"/>
        <v>0.10526315789473684</v>
      </c>
      <c r="G19" s="8">
        <f t="shared" si="0"/>
        <v>0.15789473684210525</v>
      </c>
      <c r="H19" s="8">
        <f t="shared" ref="H19:H21" si="1">IF(H14=0,"",H14/$I14)</f>
        <v>0.73684210526315785</v>
      </c>
    </row>
    <row r="20" spans="4:8" x14ac:dyDescent="0.25">
      <c r="D20" s="8" t="str">
        <f t="shared" si="0"/>
        <v/>
      </c>
      <c r="E20" s="8" t="str">
        <f t="shared" si="0"/>
        <v/>
      </c>
      <c r="F20" s="8"/>
      <c r="G20" s="8">
        <f t="shared" si="0"/>
        <v>0.36842105263157893</v>
      </c>
      <c r="H20" s="8">
        <f t="shared" si="1"/>
        <v>0.63157894736842102</v>
      </c>
    </row>
    <row r="21" spans="4:8" x14ac:dyDescent="0.25">
      <c r="D21" s="8" t="str">
        <f t="shared" si="0"/>
        <v/>
      </c>
      <c r="E21" s="8" t="str">
        <f t="shared" si="0"/>
        <v/>
      </c>
      <c r="F21" s="8"/>
      <c r="G21" s="8">
        <f t="shared" si="0"/>
        <v>0.10526315789473684</v>
      </c>
      <c r="H21" s="8">
        <f t="shared" si="1"/>
        <v>0.89473684210526316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4"/>
  <sheetViews>
    <sheetView topLeftCell="A16" workbookViewId="0">
      <selection activeCell="B19" sqref="B19"/>
    </sheetView>
  </sheetViews>
  <sheetFormatPr baseColWidth="10" defaultRowHeight="15" x14ac:dyDescent="0.25"/>
  <cols>
    <col min="2" max="2" width="163.28515625" customWidth="1"/>
    <col min="4" max="4" width="11.42578125" customWidth="1"/>
  </cols>
  <sheetData>
    <row r="3" spans="2:5" x14ac:dyDescent="0.25">
      <c r="B3" s="7" t="s">
        <v>17</v>
      </c>
    </row>
    <row r="4" spans="2:5" x14ac:dyDescent="0.25">
      <c r="C4" s="6"/>
      <c r="D4" s="6"/>
    </row>
    <row r="7" spans="2:5" x14ac:dyDescent="0.25">
      <c r="B7" s="5" t="s">
        <v>18</v>
      </c>
      <c r="C7" s="5" t="s">
        <v>19</v>
      </c>
      <c r="D7" s="5" t="s">
        <v>20</v>
      </c>
      <c r="E7" s="9" t="s">
        <v>15</v>
      </c>
    </row>
    <row r="8" spans="2:5" x14ac:dyDescent="0.25">
      <c r="B8" s="3" t="s">
        <v>21</v>
      </c>
      <c r="C8" s="3">
        <v>19</v>
      </c>
      <c r="D8" s="3"/>
      <c r="E8" s="3">
        <f>SUM(C8:D8)</f>
        <v>19</v>
      </c>
    </row>
    <row r="9" spans="2:5" x14ac:dyDescent="0.25">
      <c r="B9" s="3" t="s">
        <v>22</v>
      </c>
      <c r="C9" s="3">
        <v>12</v>
      </c>
      <c r="D9" s="3">
        <v>7</v>
      </c>
      <c r="E9" s="3">
        <f t="shared" ref="E9:E15" si="0">SUM(C9:D9)</f>
        <v>19</v>
      </c>
    </row>
    <row r="10" spans="2:5" x14ac:dyDescent="0.25">
      <c r="B10" s="3" t="s">
        <v>23</v>
      </c>
      <c r="C10" s="3">
        <v>18</v>
      </c>
      <c r="D10" s="3">
        <v>1</v>
      </c>
      <c r="E10" s="3">
        <f t="shared" si="0"/>
        <v>19</v>
      </c>
    </row>
    <row r="11" spans="2:5" x14ac:dyDescent="0.25">
      <c r="B11" s="3" t="s">
        <v>24</v>
      </c>
      <c r="C11" s="3">
        <v>4</v>
      </c>
      <c r="D11" s="3">
        <v>15</v>
      </c>
      <c r="E11" s="3">
        <f t="shared" si="0"/>
        <v>19</v>
      </c>
    </row>
    <row r="12" spans="2:5" x14ac:dyDescent="0.25">
      <c r="B12" s="3" t="s">
        <v>25</v>
      </c>
      <c r="C12" s="3">
        <v>12</v>
      </c>
      <c r="D12" s="3">
        <v>7</v>
      </c>
      <c r="E12" s="3">
        <f t="shared" si="0"/>
        <v>19</v>
      </c>
    </row>
    <row r="13" spans="2:5" x14ac:dyDescent="0.25">
      <c r="B13" s="3" t="s">
        <v>26</v>
      </c>
      <c r="C13" s="3">
        <v>7</v>
      </c>
      <c r="D13" s="3">
        <v>12</v>
      </c>
      <c r="E13" s="3">
        <f t="shared" si="0"/>
        <v>19</v>
      </c>
    </row>
    <row r="14" spans="2:5" x14ac:dyDescent="0.25">
      <c r="B14" s="3" t="s">
        <v>27</v>
      </c>
      <c r="C14" s="3">
        <v>5</v>
      </c>
      <c r="D14" s="3">
        <v>14</v>
      </c>
      <c r="E14" s="3">
        <f t="shared" si="0"/>
        <v>19</v>
      </c>
    </row>
    <row r="15" spans="2:5" x14ac:dyDescent="0.25">
      <c r="B15" s="3" t="s">
        <v>28</v>
      </c>
      <c r="C15" s="3">
        <v>5</v>
      </c>
      <c r="D15" s="3">
        <v>14</v>
      </c>
      <c r="E15" s="3">
        <f t="shared" si="0"/>
        <v>19</v>
      </c>
    </row>
    <row r="17" spans="3:4" x14ac:dyDescent="0.25">
      <c r="C17" s="8">
        <f>C8/$E8</f>
        <v>1</v>
      </c>
      <c r="D17" s="8">
        <f>D8/$E8</f>
        <v>0</v>
      </c>
    </row>
    <row r="18" spans="3:4" x14ac:dyDescent="0.25">
      <c r="C18" s="8">
        <f t="shared" ref="C18:D23" si="1">C9/$E9</f>
        <v>0.63157894736842102</v>
      </c>
      <c r="D18" s="8">
        <f t="shared" si="1"/>
        <v>0.36842105263157893</v>
      </c>
    </row>
    <row r="19" spans="3:4" x14ac:dyDescent="0.25">
      <c r="C19" s="8">
        <f t="shared" si="1"/>
        <v>0.94736842105263153</v>
      </c>
      <c r="D19" s="8">
        <f t="shared" si="1"/>
        <v>5.2631578947368418E-2</v>
      </c>
    </row>
    <row r="20" spans="3:4" x14ac:dyDescent="0.25">
      <c r="C20" s="8">
        <f t="shared" si="1"/>
        <v>0.21052631578947367</v>
      </c>
      <c r="D20" s="8">
        <f t="shared" si="1"/>
        <v>0.78947368421052633</v>
      </c>
    </row>
    <row r="21" spans="3:4" x14ac:dyDescent="0.25">
      <c r="C21" s="8">
        <f t="shared" si="1"/>
        <v>0.63157894736842102</v>
      </c>
      <c r="D21" s="8">
        <f t="shared" si="1"/>
        <v>0.36842105263157893</v>
      </c>
    </row>
    <row r="22" spans="3:4" x14ac:dyDescent="0.25">
      <c r="C22" s="8">
        <f t="shared" si="1"/>
        <v>0.36842105263157893</v>
      </c>
      <c r="D22" s="8">
        <f t="shared" si="1"/>
        <v>0.63157894736842102</v>
      </c>
    </row>
    <row r="23" spans="3:4" x14ac:dyDescent="0.25">
      <c r="C23" s="8">
        <f t="shared" si="1"/>
        <v>0.26315789473684209</v>
      </c>
      <c r="D23" s="8">
        <f t="shared" si="1"/>
        <v>0.73684210526315785</v>
      </c>
    </row>
    <row r="24" spans="3:4" x14ac:dyDescent="0.25">
      <c r="C24" s="8">
        <f>C15/$E15</f>
        <v>0.26315789473684209</v>
      </c>
      <c r="D24" s="8">
        <f>D15/$E15</f>
        <v>0.73684210526315785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9"/>
  <sheetViews>
    <sheetView topLeftCell="B10" workbookViewId="0">
      <selection activeCell="D17" sqref="D17"/>
    </sheetView>
  </sheetViews>
  <sheetFormatPr baseColWidth="10" defaultRowHeight="15" x14ac:dyDescent="0.25"/>
  <cols>
    <col min="3" max="3" width="62.140625" bestFit="1" customWidth="1"/>
    <col min="4" max="4" width="33.28515625" customWidth="1"/>
    <col min="5" max="5" width="20.28515625" customWidth="1"/>
    <col min="6" max="6" width="30.28515625" customWidth="1"/>
    <col min="8" max="8" width="22.140625" customWidth="1"/>
  </cols>
  <sheetData>
    <row r="2" spans="3:9" x14ac:dyDescent="0.25">
      <c r="C2" s="7" t="s">
        <v>40</v>
      </c>
    </row>
    <row r="6" spans="3:9" x14ac:dyDescent="0.25">
      <c r="C6" s="5" t="s">
        <v>5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9" t="s">
        <v>15</v>
      </c>
    </row>
    <row r="7" spans="3:9" x14ac:dyDescent="0.25">
      <c r="C7" s="3" t="s">
        <v>34</v>
      </c>
      <c r="D7" s="3"/>
      <c r="E7" s="3"/>
      <c r="F7" s="3"/>
      <c r="G7" s="3">
        <v>3</v>
      </c>
      <c r="H7" s="3">
        <v>16</v>
      </c>
      <c r="I7" s="3">
        <f>SUM(D7:H7)</f>
        <v>19</v>
      </c>
    </row>
    <row r="8" spans="3:9" x14ac:dyDescent="0.25">
      <c r="C8" s="3" t="s">
        <v>35</v>
      </c>
      <c r="D8" s="3"/>
      <c r="E8" s="3"/>
      <c r="F8" s="3"/>
      <c r="G8" s="3">
        <v>2</v>
      </c>
      <c r="H8" s="3">
        <v>17</v>
      </c>
      <c r="I8" s="3">
        <f t="shared" ref="I8:I12" si="0">SUM(D8:H8)</f>
        <v>19</v>
      </c>
    </row>
    <row r="9" spans="3:9" x14ac:dyDescent="0.25">
      <c r="C9" s="3" t="s">
        <v>36</v>
      </c>
      <c r="D9" s="3"/>
      <c r="E9" s="3"/>
      <c r="F9" s="3">
        <v>1</v>
      </c>
      <c r="G9" s="3">
        <v>1</v>
      </c>
      <c r="H9" s="3">
        <v>17</v>
      </c>
      <c r="I9" s="3">
        <f t="shared" si="0"/>
        <v>19</v>
      </c>
    </row>
    <row r="10" spans="3:9" x14ac:dyDescent="0.25">
      <c r="C10" s="3" t="s">
        <v>37</v>
      </c>
      <c r="D10" s="3"/>
      <c r="E10" s="3"/>
      <c r="F10" s="3"/>
      <c r="G10" s="3">
        <v>2</v>
      </c>
      <c r="H10" s="3">
        <v>17</v>
      </c>
      <c r="I10" s="3">
        <f t="shared" si="0"/>
        <v>19</v>
      </c>
    </row>
    <row r="11" spans="3:9" x14ac:dyDescent="0.25">
      <c r="C11" s="3" t="s">
        <v>38</v>
      </c>
      <c r="D11" s="3"/>
      <c r="E11" s="3">
        <v>1</v>
      </c>
      <c r="F11" s="3"/>
      <c r="G11" s="3">
        <v>3</v>
      </c>
      <c r="H11" s="3">
        <v>15</v>
      </c>
      <c r="I11" s="3">
        <f t="shared" si="0"/>
        <v>19</v>
      </c>
    </row>
    <row r="12" spans="3:9" x14ac:dyDescent="0.25">
      <c r="C12" s="3" t="s">
        <v>39</v>
      </c>
      <c r="D12" s="3"/>
      <c r="E12" s="3">
        <v>1</v>
      </c>
      <c r="F12" s="3"/>
      <c r="G12" s="3">
        <v>1</v>
      </c>
      <c r="H12" s="3">
        <v>17</v>
      </c>
      <c r="I12" s="3">
        <f t="shared" si="0"/>
        <v>19</v>
      </c>
    </row>
    <row r="14" spans="3:9" x14ac:dyDescent="0.25">
      <c r="D14" s="8" t="str">
        <f t="shared" ref="D14:G19" si="1">IF(D7=0,"",D7/$I7)</f>
        <v/>
      </c>
      <c r="E14" s="8"/>
      <c r="F14" s="8"/>
      <c r="G14" s="8">
        <f t="shared" si="1"/>
        <v>0.15789473684210525</v>
      </c>
      <c r="H14" s="8">
        <f>IF(H7=0,"",H7/$I7)</f>
        <v>0.84210526315789469</v>
      </c>
    </row>
    <row r="15" spans="3:9" x14ac:dyDescent="0.25">
      <c r="D15" s="8" t="str">
        <f t="shared" si="1"/>
        <v/>
      </c>
      <c r="E15" s="8"/>
      <c r="F15" s="8"/>
      <c r="G15" s="8">
        <f t="shared" si="1"/>
        <v>0.10526315789473684</v>
      </c>
      <c r="H15" s="8">
        <f t="shared" ref="H15:H19" si="2">IF(H8=0,"",H8/$I8)</f>
        <v>0.89473684210526316</v>
      </c>
    </row>
    <row r="16" spans="3:9" x14ac:dyDescent="0.25">
      <c r="D16" s="8" t="str">
        <f t="shared" si="1"/>
        <v/>
      </c>
      <c r="E16" s="8"/>
      <c r="F16" s="8">
        <f t="shared" si="1"/>
        <v>5.2631578947368418E-2</v>
      </c>
      <c r="G16" s="8">
        <f t="shared" si="1"/>
        <v>5.2631578947368418E-2</v>
      </c>
      <c r="H16" s="8">
        <f t="shared" si="2"/>
        <v>0.89473684210526316</v>
      </c>
    </row>
    <row r="17" spans="4:8" x14ac:dyDescent="0.25">
      <c r="D17" s="8" t="str">
        <f t="shared" si="1"/>
        <v/>
      </c>
      <c r="E17" s="8"/>
      <c r="F17" s="8"/>
      <c r="G17" s="8">
        <f t="shared" si="1"/>
        <v>0.10526315789473684</v>
      </c>
      <c r="H17" s="8">
        <f t="shared" si="2"/>
        <v>0.89473684210526316</v>
      </c>
    </row>
    <row r="18" spans="4:8" x14ac:dyDescent="0.25">
      <c r="D18" s="8" t="str">
        <f t="shared" si="1"/>
        <v/>
      </c>
      <c r="E18" s="8">
        <f t="shared" si="1"/>
        <v>5.2631578947368418E-2</v>
      </c>
      <c r="F18" s="8"/>
      <c r="G18" s="8">
        <f t="shared" si="1"/>
        <v>0.15789473684210525</v>
      </c>
      <c r="H18" s="8">
        <f t="shared" si="2"/>
        <v>0.78947368421052633</v>
      </c>
    </row>
    <row r="19" spans="4:8" x14ac:dyDescent="0.25">
      <c r="D19" s="8" t="str">
        <f t="shared" si="1"/>
        <v/>
      </c>
      <c r="E19" s="8">
        <f t="shared" si="1"/>
        <v>5.2631578947368418E-2</v>
      </c>
      <c r="F19" s="8"/>
      <c r="G19" s="8">
        <f t="shared" si="1"/>
        <v>5.2631578947368418E-2</v>
      </c>
      <c r="H19" s="8">
        <f t="shared" si="2"/>
        <v>0.89473684210526316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4" sqref="F2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ORGANIZACION Y LOGISTICA</vt:lpstr>
      <vt:lpstr>PERCEPCION COMUNITARIA</vt:lpstr>
      <vt:lpstr>EVALUACION CONTENIDO </vt:lpstr>
      <vt:lpstr>COMENTARIOS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usuario-dell</cp:lastModifiedBy>
  <dcterms:created xsi:type="dcterms:W3CDTF">2025-10-28T23:31:44Z</dcterms:created>
  <dcterms:modified xsi:type="dcterms:W3CDTF">2025-11-10T12:59:15Z</dcterms:modified>
</cp:coreProperties>
</file>